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erayfazilordanuc/Projects/RC Uçak/"/>
    </mc:Choice>
  </mc:AlternateContent>
  <xr:revisionPtr revIDLastSave="0" documentId="13_ncr:1_{DFE42DAA-39BF-F84F-85AC-7AFC7AD7A5D9}" xr6:coauthVersionLast="47" xr6:coauthVersionMax="47" xr10:uidLastSave="{00000000-0000-0000-0000-000000000000}"/>
  <bookViews>
    <workbookView xWindow="0" yWindow="660" windowWidth="29400" windowHeight="16660" tabRatio="500" xr2:uid="{00000000-000D-0000-FFFF-FFFF00000000}"/>
  </bookViews>
  <sheets>
    <sheet name="Malzeme Listes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27" i="1"/>
  <c r="E26" i="1"/>
  <c r="E23" i="1"/>
  <c r="E22" i="1"/>
  <c r="E21" i="1"/>
  <c r="E20" i="1"/>
  <c r="E19" i="1"/>
  <c r="E18" i="1"/>
  <c r="E17" i="1"/>
  <c r="E16" i="1"/>
  <c r="E15" i="1"/>
  <c r="E14" i="1"/>
  <c r="E10" i="1"/>
  <c r="E9" i="1"/>
  <c r="E8" i="1"/>
  <c r="E11" i="1" s="1"/>
  <c r="E29" i="1" l="1"/>
</calcChain>
</file>

<file path=xl/sharedStrings.xml><?xml version="1.0" encoding="utf-8"?>
<sst xmlns="http://schemas.openxmlformats.org/spreadsheetml/2006/main" count="119" uniqueCount="85">
  <si>
    <t>Fotoblok RC Trainer - Alinacak Malzemeler</t>
  </si>
  <si>
    <t>3 kanal rudder-elevator trainer | A2212 1000KV | 3S LiPo | DIY nRF24 kumanda linki</t>
  </si>
  <si>
    <t>Guc mimarisi: XL4015 buck regulator dogrudan batarya cikisina baglanir. ESC'nin BEC kirmizi ucu sokulur, sari (sinyal) ve siyah (GND) kalir.</t>
  </si>
  <si>
    <t>Fiyatlar Agustos 2026 tahminidir; siparis oncesi guncel fiyat kontrol edilmelidir.</t>
  </si>
  <si>
    <t>OK</t>
  </si>
  <si>
    <t>Malzeme</t>
  </si>
  <si>
    <t>Adet</t>
  </si>
  <si>
    <t>Birim Fiyat (TL)</t>
  </si>
  <si>
    <t>Toplam (TL)</t>
  </si>
  <si>
    <t>Durum</t>
  </si>
  <si>
    <t>Not</t>
  </si>
  <si>
    <t>Link</t>
  </si>
  <si>
    <t>Fotoblok 5 mm 50x70 cm</t>
  </si>
  <si>
    <t>Alinacak</t>
  </si>
  <si>
    <t>Yerel kirtasiye Trendyol'dan ucuz; 3 levha yeterli</t>
  </si>
  <si>
    <t>https://www.trendyol.com/genel-markalar/5-mm-50x70-cm-fotoblok-straforlu-maket-kartonu-beyaz-5-adet-p-743200992</t>
  </si>
  <si>
    <t>Ahsap cita, ladin 2x10x1000 mm</t>
  </si>
  <si>
    <t>Kanat kirisi; karbona gerek yok</t>
  </si>
  <si>
    <t>https://www.thkmodelucak.com/urun/2x4x510-ihlamur-cita</t>
  </si>
  <si>
    <t>Lifli tamir banti 10 m</t>
  </si>
  <si>
    <t>Mentese ve kanat kokii takviyesi</t>
  </si>
  <si>
    <t>Ara toplam</t>
  </si>
  <si>
    <t>3S 1500 mAh LiPo batarya</t>
  </si>
  <si>
    <t>2200 yerine 1500: 60 g hafif, ucus suresi yeterli</t>
  </si>
  <si>
    <t>https://www.robocombo.com/111v-li-po-pil-2200mah-30c-3s-lityum-polymer-batarya-3716</t>
  </si>
  <si>
    <t>B3 Pro Max 20W balans sarj aleti</t>
  </si>
  <si>
    <t>1.6 A, 2-3S. Tek pil icin B6AC gereksiz; B6AC en ucuz 1433 TL</t>
  </si>
  <si>
    <t>https://www.direnc.net/3s-40a-lipo-pil-sarj-devresi-modulu</t>
  </si>
  <si>
    <t>LiPo hucre voltaj gostergesi (1-8S)</t>
  </si>
  <si>
    <t>Sarj aletinin ekrani yok; hucre dengesini bununla dogrula</t>
  </si>
  <si>
    <t>LiPo guvenlik cantasi</t>
  </si>
  <si>
    <t>Guvenlik kalemi, atlanmamali</t>
  </si>
  <si>
    <t>https://www.robotzade.com/urun/lipo-pil-yanmaz-koruma-cantasi-lipo-safe-bag-23x30cm</t>
  </si>
  <si>
    <t>Haoye 8x6 EP pervane (8060)</t>
  </si>
  <si>
    <t>9x6 stokta yok; 8x6 A2212+3S icin ~14 A, daha uygun</t>
  </si>
  <si>
    <t>https://www.hobbyrcmodels.com/urun/haoye-8x6-ep-pervane-8060-beyaz-d-6mm-h-10-5mm-6-75gr-1</t>
  </si>
  <si>
    <t>16 AWG silikon kablo 1 m</t>
  </si>
  <si>
    <t>Batarya - ESC arasi</t>
  </si>
  <si>
    <t>https://www.robocombo.com/16awg-kirmizi-silikon-kablo-1m</t>
  </si>
  <si>
    <t>18 AWG silikon kablo 1 m</t>
  </si>
  <si>
    <t>Dagitim noktasi hatlari</t>
  </si>
  <si>
    <t>https://www.robocombo.com/18awg-kirmizi-silikon-kablo-1m</t>
  </si>
  <si>
    <t>XT60 erkek konnektor</t>
  </si>
  <si>
    <t>https://www.robotzade.com/urun/xt60-erkek-lipo-pil-konnektor</t>
  </si>
  <si>
    <t>XT60 disi konnektor</t>
  </si>
  <si>
    <t>Biri XL4015 girisi icin</t>
  </si>
  <si>
    <t>https://www.robotzade.com/urun/xt60-disi-lipo-pil-konnektor</t>
  </si>
  <si>
    <t>STM32F411CEU6 Black Pill</t>
  </si>
  <si>
    <t>https://www.f1depo.com/urun/stm32f411ceu6-black-pill-100mhz-512kb-gelistirme-karti</t>
  </si>
  <si>
    <t>GENEL TOPLAM (satin alinacak)</t>
  </si>
  <si>
    <t>A2212 1000KV firçasiz motor</t>
  </si>
  <si>
    <t>Mevcut</t>
  </si>
  <si>
    <t>8x6 veya 9x6 pervane ile 3S'te ~15 A</t>
  </si>
  <si>
    <t>30A ESC (RLN2C15-0030)</t>
  </si>
  <si>
    <t>BEC kirmizi ucu sokulecek; 1A lineer BEC kullanilmiyor</t>
  </si>
  <si>
    <t>MG90S servo</t>
  </si>
  <si>
    <t>Rudder ve elevator</t>
  </si>
  <si>
    <t>nRF24L01+ modul</t>
  </si>
  <si>
    <t>VCC pininin dibine 10 uF + 100 nF sart</t>
  </si>
  <si>
    <t>XL4015 buck regulator</t>
  </si>
  <si>
    <t>Dogrudan batarya cikisina, 5.2 V'a ayarlanacak</t>
  </si>
  <si>
    <t>Joystick / buton modulleri</t>
  </si>
  <si>
    <t>Verici tarafi</t>
  </si>
  <si>
    <t>Sicak silikon tabancasi</t>
  </si>
  <si>
    <t>Dusuk isi ayarinda kullan</t>
  </si>
  <si>
    <t>Jumper kablo ve pin header</t>
  </si>
  <si>
    <t>Kontrol boynuzu (control horn)</t>
  </si>
  <si>
    <t>3D yazici ile basilacak</t>
  </si>
  <si>
    <t>NOTLAR</t>
  </si>
  <si>
    <t>OK sutunu: karar verilmis ve siparise hazir kalemler isaretlidir.</t>
  </si>
  <si>
    <t>Mavi yazili hucreler elle girilen fiyatlardir; guncelledikce toplamlar kendiliginden yenilenir.</t>
  </si>
  <si>
    <t>XL4015 kurulumu: modulu once sadece bataryaya bagla, cikisi multimetreyle olcerek 5.2 V'a ayarla, sonra servolari ve karti bagla.</t>
  </si>
  <si>
    <t>Fabrika cikisinda XL4015 potu genelde maksimumdadir; once ayarlamadan baglarsan servolar ve STM32 aninda yanar.</t>
  </si>
  <si>
    <t>Ayardan sonra trimpotun uzerine sicak silikon damlat; ucus titresimi potu kaydirir.</t>
  </si>
  <si>
    <t>ESC'nin uc telli konnektorunde sadece kirmizi (5 V) sokulur. Sari sinyal STM32 timer pinine, siyah ortak toprak rayina gider.</t>
  </si>
  <si>
    <t>Tum topraklar tek noktada birlesir: XL4015 GND, ESC GND, servo GND ve STM32 GND.</t>
  </si>
  <si>
    <t>Sarj kurallari: en fazla 1C akim (1500 mAh icin 1.5 A), her zaman LiPo cantasinda ve basinda olarak, asla gece boyu birakma.</t>
  </si>
  <si>
    <t>Ucus sonrasi hucre basina 3.0 V altina dusurme; 8 dakikada in. Uzun sure kullanilmayacaksa hucre basina 3.8 V storage voltajinda birak.</t>
  </si>
  <si>
    <t>Sarj bittikten sonra pili voltaj gostergesine tak: uc hucre de 4.20 V civarinda ve aralarindaki fark 0.05 V altinda olmali.</t>
  </si>
  <si>
    <t>Cikarilanlar: iMAX B6AC (3000 TL) yerine B3 Pro Max (430 TL), 1045 multirotor pervanesi yerine 9x6 ucak pervanesi.</t>
  </si>
  <si>
    <t>nRF24 icin ayri adaptor karti listeye eklenmedi; modulun VCC-GND ucuna 10 uF + 100 nF lehimlemek ayni isi goruyor.</t>
  </si>
  <si>
    <t>GUC SISTEMI</t>
  </si>
  <si>
    <t>YAPI MALZEMELERI</t>
  </si>
  <si>
    <t>KUMANDA LINKI ELEKTRONIGI</t>
  </si>
  <si>
    <t>ELINDE MEVCUT - SATIN ALINMAYACAK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</si>
</sst>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TL&quot;"/>
  </numFmts>
  <fonts count="1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55555"/>
      <name val="Arial"/>
      <family val="2"/>
    </font>
    <font>
      <i/>
      <sz val="10"/>
      <color rgb="FFC00000"/>
      <name val="Arial"/>
      <family val="2"/>
    </font>
    <font>
      <i/>
      <sz val="9"/>
      <color rgb="FF777777"/>
      <name val="Arial"/>
      <family val="2"/>
    </font>
    <font>
      <b/>
      <sz val="10"/>
      <color rgb="FFFFFFFF"/>
      <name val="Arial"/>
      <family val="2"/>
    </font>
    <font>
      <b/>
      <sz val="10"/>
      <color rgb="FF1F4E5F"/>
      <name val="Arial"/>
      <family val="2"/>
    </font>
    <font>
      <b/>
      <sz val="10"/>
      <color rgb="FF1B5E2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555555"/>
      <name val="Arial"/>
      <family val="2"/>
    </font>
    <font>
      <u/>
      <sz val="9"/>
      <color rgb="FF0563C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0"/>
      <color rgb="FF55555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1B5E20"/>
      </patternFill>
    </fill>
    <fill>
      <patternFill patternType="solid">
        <fgColor rgb="FFDCE6EC"/>
        <bgColor rgb="FFE8F5E9"/>
      </patternFill>
    </fill>
    <fill>
      <patternFill patternType="solid">
        <fgColor rgb="FFC8E6C9"/>
        <bgColor rgb="FFDCE6EC"/>
      </patternFill>
    </fill>
    <fill>
      <patternFill patternType="solid">
        <fgColor rgb="FFF2F2F2"/>
        <bgColor rgb="FFE8F5E9"/>
      </patternFill>
    </fill>
    <fill>
      <patternFill patternType="solid">
        <fgColor rgb="FFFFF2CC"/>
        <bgColor rgb="FFF2F2F2"/>
      </patternFill>
    </fill>
    <fill>
      <patternFill patternType="solid">
        <fgColor rgb="FFE8F5E9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9" fillId="0" borderId="1" xfId="0" applyNumberFormat="1" applyFont="1" applyBorder="1"/>
    <xf numFmtId="164" fontId="8" fillId="0" borderId="1" xfId="0" applyNumberFormat="1" applyFont="1" applyBorder="1"/>
    <xf numFmtId="0" fontId="10" fillId="0" borderId="1" xfId="0" applyFont="1" applyBorder="1" applyAlignment="1">
      <alignment vertical="top" wrapText="1"/>
    </xf>
    <xf numFmtId="0" fontId="11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2" fillId="5" borderId="1" xfId="0" applyFont="1" applyFill="1" applyBorder="1"/>
    <xf numFmtId="164" fontId="12" fillId="5" borderId="1" xfId="0" applyNumberFormat="1" applyFont="1" applyFill="1" applyBorder="1"/>
    <xf numFmtId="164" fontId="0" fillId="0" borderId="0" xfId="0" applyNumberFormat="1"/>
    <xf numFmtId="0" fontId="13" fillId="6" borderId="1" xfId="0" applyFont="1" applyFill="1" applyBorder="1"/>
    <xf numFmtId="164" fontId="13" fillId="6" borderId="1" xfId="0" applyNumberFormat="1" applyFont="1" applyFill="1" applyBorder="1"/>
    <xf numFmtId="0" fontId="7" fillId="7" borderId="1" xfId="0" applyFont="1" applyFill="1" applyBorder="1"/>
    <xf numFmtId="0" fontId="7" fillId="0" borderId="1" xfId="0" applyFont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E8F5E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8E6C9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combo.com/18awg-kirmizi-silikon-kablo-1m" TargetMode="External"/><Relationship Id="rId3" Type="http://schemas.openxmlformats.org/officeDocument/2006/relationships/hyperlink" Target="https://www.robocombo.com/111v-li-po-pil-2200mah-30c-3s-lityum-polymer-batarya-3716" TargetMode="External"/><Relationship Id="rId7" Type="http://schemas.openxmlformats.org/officeDocument/2006/relationships/hyperlink" Target="https://www.robocombo.com/16awg-kirmizi-silikon-kablo-1m" TargetMode="External"/><Relationship Id="rId2" Type="http://schemas.openxmlformats.org/officeDocument/2006/relationships/hyperlink" Target="https://www.thkmodelucak.com/urun/2x4x510-ihlamur-cita" TargetMode="External"/><Relationship Id="rId1" Type="http://schemas.openxmlformats.org/officeDocument/2006/relationships/hyperlink" Target="https://www.trendyol.com/genel-markalar/5-mm-50x70-cm-fotoblok-straforlu-maket-kartonu-beyaz-5-adet-p-743200992" TargetMode="External"/><Relationship Id="rId6" Type="http://schemas.openxmlformats.org/officeDocument/2006/relationships/hyperlink" Target="https://www.hobbyrcmodels.com/urun/haoye-8x6-ep-pervane-8060-beyaz-d-6mm-h-10-5mm-6-75gr-1" TargetMode="External"/><Relationship Id="rId11" Type="http://schemas.openxmlformats.org/officeDocument/2006/relationships/hyperlink" Target="https://www.f1depo.com/urun/stm32f411ceu6-black-pill-100mhz-512kb-gelistirme-karti" TargetMode="External"/><Relationship Id="rId5" Type="http://schemas.openxmlformats.org/officeDocument/2006/relationships/hyperlink" Target="https://www.robotzade.com/urun/lipo-pil-yanmaz-koruma-cantasi-lipo-safe-bag-23x30cm" TargetMode="External"/><Relationship Id="rId10" Type="http://schemas.openxmlformats.org/officeDocument/2006/relationships/hyperlink" Target="https://www.robotzade.com/urun/xt60-disi-lipo-pil-konnektor" TargetMode="External"/><Relationship Id="rId4" Type="http://schemas.openxmlformats.org/officeDocument/2006/relationships/hyperlink" Target="https://www.direnc.net/3s-40a-lipo-pil-sarj-devresi-modulu" TargetMode="External"/><Relationship Id="rId9" Type="http://schemas.openxmlformats.org/officeDocument/2006/relationships/hyperlink" Target="https://www.robotzade.com/urun/xt60-erkek-lipo-pil-konnek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Normal="100" workbookViewId="0">
      <pane xSplit="1" ySplit="6" topLeftCell="B43" activePane="bottomRight" state="frozen"/>
      <selection pane="topRight" activeCell="B1" sqref="B1"/>
      <selection pane="bottomLeft" activeCell="A7" sqref="A7"/>
      <selection pane="bottomRight" activeCell="E29" sqref="E29"/>
    </sheetView>
  </sheetViews>
  <sheetFormatPr baseColWidth="10" defaultColWidth="8.6640625" defaultRowHeight="15" x14ac:dyDescent="0.2"/>
  <cols>
    <col min="1" max="1" width="6" customWidth="1"/>
    <col min="2" max="2" width="40" customWidth="1"/>
    <col min="3" max="3" width="7" customWidth="1"/>
    <col min="4" max="4" width="16" customWidth="1"/>
    <col min="5" max="5" width="14" customWidth="1"/>
    <col min="6" max="6" width="12" customWidth="1"/>
    <col min="7" max="7" width="46" customWidth="1"/>
    <col min="8" max="8" width="44" customWidth="1"/>
  </cols>
  <sheetData>
    <row r="1" spans="1:8" ht="18" x14ac:dyDescent="0.2">
      <c r="A1" s="1" t="s">
        <v>0</v>
      </c>
    </row>
    <row r="2" spans="1:8" x14ac:dyDescent="0.2">
      <c r="A2" s="2" t="s">
        <v>1</v>
      </c>
    </row>
    <row r="3" spans="1:8" x14ac:dyDescent="0.2">
      <c r="A3" s="3" t="s">
        <v>2</v>
      </c>
    </row>
    <row r="4" spans="1:8" x14ac:dyDescent="0.2">
      <c r="A4" s="4" t="s">
        <v>3</v>
      </c>
    </row>
    <row r="6" spans="1:8" x14ac:dyDescent="0.2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">
      <c r="A7" s="6"/>
      <c r="B7" s="6" t="s">
        <v>82</v>
      </c>
      <c r="C7" s="6"/>
      <c r="D7" s="7"/>
      <c r="E7" s="7"/>
      <c r="F7" s="6"/>
      <c r="G7" s="6"/>
      <c r="H7" s="6"/>
    </row>
    <row r="8" spans="1:8" x14ac:dyDescent="0.2">
      <c r="A8" s="8" t="s">
        <v>4</v>
      </c>
      <c r="B8" s="9" t="s">
        <v>12</v>
      </c>
      <c r="C8" s="10">
        <v>3</v>
      </c>
      <c r="D8" s="11">
        <v>100</v>
      </c>
      <c r="E8" s="12">
        <f t="shared" ref="E8:E10" si="0">C8*D8</f>
        <v>300</v>
      </c>
      <c r="F8" s="9" t="s">
        <v>13</v>
      </c>
      <c r="G8" s="13" t="s">
        <v>14</v>
      </c>
      <c r="H8" s="14" t="s">
        <v>15</v>
      </c>
    </row>
    <row r="9" spans="1:8" x14ac:dyDescent="0.2">
      <c r="A9" s="8" t="s">
        <v>4</v>
      </c>
      <c r="B9" s="9" t="s">
        <v>16</v>
      </c>
      <c r="C9" s="10">
        <v>1</v>
      </c>
      <c r="D9" s="11">
        <v>67</v>
      </c>
      <c r="E9" s="12">
        <f t="shared" si="0"/>
        <v>67</v>
      </c>
      <c r="F9" s="9" t="s">
        <v>13</v>
      </c>
      <c r="G9" s="13" t="s">
        <v>17</v>
      </c>
      <c r="H9" s="14" t="s">
        <v>18</v>
      </c>
    </row>
    <row r="10" spans="1:8" x14ac:dyDescent="0.2">
      <c r="A10" s="8" t="s">
        <v>4</v>
      </c>
      <c r="B10" s="9" t="s">
        <v>19</v>
      </c>
      <c r="C10" s="10">
        <v>1</v>
      </c>
      <c r="D10" s="11">
        <v>80</v>
      </c>
      <c r="E10" s="12">
        <f t="shared" si="0"/>
        <v>80</v>
      </c>
      <c r="F10" s="9" t="s">
        <v>13</v>
      </c>
      <c r="G10" s="13" t="s">
        <v>20</v>
      </c>
      <c r="H10" s="16"/>
    </row>
    <row r="11" spans="1:8" x14ac:dyDescent="0.2">
      <c r="A11" s="17"/>
      <c r="B11" s="17" t="s">
        <v>21</v>
      </c>
      <c r="C11" s="17"/>
      <c r="D11" s="18"/>
      <c r="E11" s="18">
        <f>SUM(E8:E10)</f>
        <v>447</v>
      </c>
      <c r="F11" s="17"/>
      <c r="G11" s="17"/>
      <c r="H11" s="17"/>
    </row>
    <row r="12" spans="1:8" x14ac:dyDescent="0.2">
      <c r="D12" s="19"/>
      <c r="E12" s="19"/>
    </row>
    <row r="13" spans="1:8" x14ac:dyDescent="0.2">
      <c r="A13" s="6"/>
      <c r="B13" s="6" t="s">
        <v>81</v>
      </c>
      <c r="C13" s="6"/>
      <c r="D13" s="7"/>
      <c r="E13" s="7"/>
      <c r="F13" s="6"/>
      <c r="G13" s="6"/>
      <c r="H13" s="6"/>
    </row>
    <row r="14" spans="1:8" x14ac:dyDescent="0.2">
      <c r="A14" s="8" t="s">
        <v>4</v>
      </c>
      <c r="B14" s="9" t="s">
        <v>22</v>
      </c>
      <c r="C14" s="10">
        <v>1</v>
      </c>
      <c r="D14" s="11">
        <v>800</v>
      </c>
      <c r="E14" s="12">
        <f t="shared" ref="E14:E22" si="1">C14*D14</f>
        <v>800</v>
      </c>
      <c r="F14" s="9" t="s">
        <v>13</v>
      </c>
      <c r="G14" s="13" t="s">
        <v>23</v>
      </c>
      <c r="H14" s="14" t="s">
        <v>24</v>
      </c>
    </row>
    <row r="15" spans="1:8" x14ac:dyDescent="0.2">
      <c r="A15" s="8" t="s">
        <v>4</v>
      </c>
      <c r="B15" s="9" t="s">
        <v>25</v>
      </c>
      <c r="C15" s="10">
        <v>1</v>
      </c>
      <c r="D15" s="11">
        <v>430</v>
      </c>
      <c r="E15" s="12">
        <f t="shared" si="1"/>
        <v>430</v>
      </c>
      <c r="F15" s="9" t="s">
        <v>13</v>
      </c>
      <c r="G15" s="13" t="s">
        <v>26</v>
      </c>
      <c r="H15" s="14" t="s">
        <v>27</v>
      </c>
    </row>
    <row r="16" spans="1:8" x14ac:dyDescent="0.2">
      <c r="A16" s="8" t="s">
        <v>4</v>
      </c>
      <c r="B16" s="9" t="s">
        <v>28</v>
      </c>
      <c r="C16" s="10">
        <v>1</v>
      </c>
      <c r="D16" s="11">
        <v>60</v>
      </c>
      <c r="E16" s="12">
        <f t="shared" si="1"/>
        <v>60</v>
      </c>
      <c r="F16" s="9" t="s">
        <v>13</v>
      </c>
      <c r="G16" s="13" t="s">
        <v>29</v>
      </c>
      <c r="H16" s="16"/>
    </row>
    <row r="17" spans="1:8" x14ac:dyDescent="0.2">
      <c r="A17" s="8" t="s">
        <v>4</v>
      </c>
      <c r="B17" s="9" t="s">
        <v>30</v>
      </c>
      <c r="C17" s="10">
        <v>1</v>
      </c>
      <c r="D17" s="11">
        <v>180</v>
      </c>
      <c r="E17" s="12">
        <f t="shared" si="1"/>
        <v>180</v>
      </c>
      <c r="F17" s="9" t="s">
        <v>13</v>
      </c>
      <c r="G17" s="13" t="s">
        <v>31</v>
      </c>
      <c r="H17" s="14" t="s">
        <v>32</v>
      </c>
    </row>
    <row r="18" spans="1:8" x14ac:dyDescent="0.2">
      <c r="A18" s="8" t="s">
        <v>4</v>
      </c>
      <c r="B18" s="9" t="s">
        <v>33</v>
      </c>
      <c r="C18" s="10">
        <v>2</v>
      </c>
      <c r="D18" s="11">
        <v>48</v>
      </c>
      <c r="E18" s="12">
        <f t="shared" si="1"/>
        <v>96</v>
      </c>
      <c r="F18" s="9" t="s">
        <v>13</v>
      </c>
      <c r="G18" s="13" t="s">
        <v>34</v>
      </c>
      <c r="H18" s="14" t="s">
        <v>35</v>
      </c>
    </row>
    <row r="19" spans="1:8" x14ac:dyDescent="0.2">
      <c r="A19" s="8" t="s">
        <v>4</v>
      </c>
      <c r="B19" s="9" t="s">
        <v>36</v>
      </c>
      <c r="C19" s="10">
        <v>1</v>
      </c>
      <c r="D19" s="11">
        <v>60</v>
      </c>
      <c r="E19" s="12">
        <f t="shared" si="1"/>
        <v>60</v>
      </c>
      <c r="F19" s="9" t="s">
        <v>13</v>
      </c>
      <c r="G19" s="13" t="s">
        <v>37</v>
      </c>
      <c r="H19" s="14" t="s">
        <v>38</v>
      </c>
    </row>
    <row r="20" spans="1:8" x14ac:dyDescent="0.2">
      <c r="A20" s="8" t="s">
        <v>4</v>
      </c>
      <c r="B20" s="9" t="s">
        <v>39</v>
      </c>
      <c r="C20" s="10">
        <v>1</v>
      </c>
      <c r="D20" s="11">
        <v>50</v>
      </c>
      <c r="E20" s="12">
        <f t="shared" si="1"/>
        <v>50</v>
      </c>
      <c r="F20" s="9" t="s">
        <v>13</v>
      </c>
      <c r="G20" s="13" t="s">
        <v>40</v>
      </c>
      <c r="H20" s="14" t="s">
        <v>41</v>
      </c>
    </row>
    <row r="21" spans="1:8" x14ac:dyDescent="0.2">
      <c r="A21" s="8" t="s">
        <v>4</v>
      </c>
      <c r="B21" s="9" t="s">
        <v>42</v>
      </c>
      <c r="C21" s="10">
        <v>2</v>
      </c>
      <c r="D21" s="11">
        <v>10</v>
      </c>
      <c r="E21" s="12">
        <f t="shared" si="1"/>
        <v>20</v>
      </c>
      <c r="F21" s="9" t="s">
        <v>13</v>
      </c>
      <c r="G21" s="13"/>
      <c r="H21" s="14" t="s">
        <v>43</v>
      </c>
    </row>
    <row r="22" spans="1:8" x14ac:dyDescent="0.2">
      <c r="A22" s="8" t="s">
        <v>4</v>
      </c>
      <c r="B22" s="9" t="s">
        <v>44</v>
      </c>
      <c r="C22" s="10">
        <v>2</v>
      </c>
      <c r="D22" s="11">
        <v>10</v>
      </c>
      <c r="E22" s="12">
        <f t="shared" si="1"/>
        <v>20</v>
      </c>
      <c r="F22" s="9" t="s">
        <v>13</v>
      </c>
      <c r="G22" s="13" t="s">
        <v>45</v>
      </c>
      <c r="H22" s="14" t="s">
        <v>46</v>
      </c>
    </row>
    <row r="23" spans="1:8" x14ac:dyDescent="0.2">
      <c r="A23" s="17"/>
      <c r="B23" s="17" t="s">
        <v>21</v>
      </c>
      <c r="C23" s="17"/>
      <c r="D23" s="18"/>
      <c r="E23" s="18">
        <f>SUM(E14:E22)</f>
        <v>1716</v>
      </c>
      <c r="F23" s="17"/>
      <c r="G23" s="17"/>
      <c r="H23" s="17"/>
    </row>
    <row r="24" spans="1:8" x14ac:dyDescent="0.2">
      <c r="D24" s="19"/>
      <c r="E24" s="19"/>
    </row>
    <row r="25" spans="1:8" x14ac:dyDescent="0.2">
      <c r="A25" s="6"/>
      <c r="B25" s="6" t="s">
        <v>83</v>
      </c>
      <c r="C25" s="6"/>
      <c r="D25" s="7"/>
      <c r="E25" s="7"/>
      <c r="F25" s="6"/>
      <c r="G25" s="6"/>
      <c r="H25" s="6"/>
    </row>
    <row r="26" spans="1:8" x14ac:dyDescent="0.2">
      <c r="A26" s="15"/>
      <c r="B26" s="9" t="s">
        <v>47</v>
      </c>
      <c r="C26" s="10">
        <v>1</v>
      </c>
      <c r="D26" s="11">
        <v>328</v>
      </c>
      <c r="E26" s="12">
        <f>C26*D26</f>
        <v>328</v>
      </c>
      <c r="F26" s="9" t="s">
        <v>13</v>
      </c>
      <c r="G26" s="13"/>
      <c r="H26" s="14" t="s">
        <v>48</v>
      </c>
    </row>
    <row r="27" spans="1:8" x14ac:dyDescent="0.2">
      <c r="A27" s="17"/>
      <c r="B27" s="17" t="s">
        <v>21</v>
      </c>
      <c r="C27" s="17"/>
      <c r="D27" s="18"/>
      <c r="E27" s="18">
        <f>SUM(E26:E26)</f>
        <v>328</v>
      </c>
      <c r="F27" s="17"/>
      <c r="G27" s="17"/>
      <c r="H27" s="17"/>
    </row>
    <row r="28" spans="1:8" x14ac:dyDescent="0.2">
      <c r="D28" s="19"/>
      <c r="E28" s="19"/>
    </row>
    <row r="29" spans="1:8" x14ac:dyDescent="0.2">
      <c r="A29" s="20"/>
      <c r="B29" s="20" t="s">
        <v>49</v>
      </c>
      <c r="C29" s="20"/>
      <c r="D29" s="21"/>
      <c r="E29" s="21" t="e">
        <f>E11+#REF!+E23+E27</f>
        <v>#REF!</v>
      </c>
      <c r="F29" s="20"/>
      <c r="G29" s="20"/>
      <c r="H29" s="20"/>
    </row>
    <row r="31" spans="1:8" x14ac:dyDescent="0.2">
      <c r="A31" s="22"/>
      <c r="B31" s="22" t="s">
        <v>84</v>
      </c>
      <c r="C31" s="22"/>
      <c r="D31" s="22"/>
      <c r="E31" s="22"/>
      <c r="F31" s="22"/>
      <c r="G31" s="22"/>
      <c r="H31" s="22"/>
    </row>
    <row r="32" spans="1:8" x14ac:dyDescent="0.2">
      <c r="A32" s="16"/>
      <c r="B32" s="9" t="s">
        <v>50</v>
      </c>
      <c r="C32" s="10">
        <v>1</v>
      </c>
      <c r="D32" s="9">
        <v>0</v>
      </c>
      <c r="E32" s="9">
        <f t="shared" ref="E32:E40" si="2">C32*D32</f>
        <v>0</v>
      </c>
      <c r="F32" s="23" t="s">
        <v>51</v>
      </c>
      <c r="G32" s="13" t="s">
        <v>52</v>
      </c>
      <c r="H32" s="16"/>
    </row>
    <row r="33" spans="1:8" x14ac:dyDescent="0.2">
      <c r="A33" s="16"/>
      <c r="B33" s="9" t="s">
        <v>53</v>
      </c>
      <c r="C33" s="10">
        <v>1</v>
      </c>
      <c r="D33" s="9">
        <v>0</v>
      </c>
      <c r="E33" s="9">
        <f t="shared" si="2"/>
        <v>0</v>
      </c>
      <c r="F33" s="23" t="s">
        <v>51</v>
      </c>
      <c r="G33" s="13" t="s">
        <v>54</v>
      </c>
      <c r="H33" s="16"/>
    </row>
    <row r="34" spans="1:8" x14ac:dyDescent="0.2">
      <c r="A34" s="16"/>
      <c r="B34" s="9" t="s">
        <v>55</v>
      </c>
      <c r="C34" s="10">
        <v>2</v>
      </c>
      <c r="D34" s="9">
        <v>0</v>
      </c>
      <c r="E34" s="9">
        <f t="shared" si="2"/>
        <v>0</v>
      </c>
      <c r="F34" s="23" t="s">
        <v>51</v>
      </c>
      <c r="G34" s="13" t="s">
        <v>56</v>
      </c>
      <c r="H34" s="16"/>
    </row>
    <row r="35" spans="1:8" x14ac:dyDescent="0.2">
      <c r="A35" s="16"/>
      <c r="B35" s="9" t="s">
        <v>57</v>
      </c>
      <c r="C35" s="10">
        <v>2</v>
      </c>
      <c r="D35" s="9">
        <v>0</v>
      </c>
      <c r="E35" s="9">
        <f t="shared" si="2"/>
        <v>0</v>
      </c>
      <c r="F35" s="23" t="s">
        <v>51</v>
      </c>
      <c r="G35" s="13" t="s">
        <v>58</v>
      </c>
      <c r="H35" s="16"/>
    </row>
    <row r="36" spans="1:8" x14ac:dyDescent="0.2">
      <c r="A36" s="16"/>
      <c r="B36" s="9" t="s">
        <v>59</v>
      </c>
      <c r="C36" s="10">
        <v>1</v>
      </c>
      <c r="D36" s="9">
        <v>0</v>
      </c>
      <c r="E36" s="9">
        <f t="shared" si="2"/>
        <v>0</v>
      </c>
      <c r="F36" s="23" t="s">
        <v>51</v>
      </c>
      <c r="G36" s="13" t="s">
        <v>60</v>
      </c>
      <c r="H36" s="16"/>
    </row>
    <row r="37" spans="1:8" x14ac:dyDescent="0.2">
      <c r="A37" s="16"/>
      <c r="B37" s="9" t="s">
        <v>61</v>
      </c>
      <c r="C37" s="10">
        <v>1</v>
      </c>
      <c r="D37" s="9">
        <v>0</v>
      </c>
      <c r="E37" s="9">
        <f t="shared" si="2"/>
        <v>0</v>
      </c>
      <c r="F37" s="23" t="s">
        <v>51</v>
      </c>
      <c r="G37" s="13" t="s">
        <v>62</v>
      </c>
      <c r="H37" s="16"/>
    </row>
    <row r="38" spans="1:8" x14ac:dyDescent="0.2">
      <c r="A38" s="16"/>
      <c r="B38" s="9" t="s">
        <v>63</v>
      </c>
      <c r="C38" s="10">
        <v>1</v>
      </c>
      <c r="D38" s="9">
        <v>0</v>
      </c>
      <c r="E38" s="9">
        <f t="shared" si="2"/>
        <v>0</v>
      </c>
      <c r="F38" s="23" t="s">
        <v>51</v>
      </c>
      <c r="G38" s="13" t="s">
        <v>64</v>
      </c>
      <c r="H38" s="16"/>
    </row>
    <row r="39" spans="1:8" x14ac:dyDescent="0.2">
      <c r="A39" s="16"/>
      <c r="B39" s="9" t="s">
        <v>65</v>
      </c>
      <c r="C39" s="10">
        <v>1</v>
      </c>
      <c r="D39" s="9">
        <v>0</v>
      </c>
      <c r="E39" s="9">
        <f t="shared" si="2"/>
        <v>0</v>
      </c>
      <c r="F39" s="23" t="s">
        <v>51</v>
      </c>
      <c r="G39" s="13"/>
      <c r="H39" s="16"/>
    </row>
    <row r="40" spans="1:8" x14ac:dyDescent="0.2">
      <c r="A40" s="16"/>
      <c r="B40" s="9" t="s">
        <v>66</v>
      </c>
      <c r="C40" s="10">
        <v>4</v>
      </c>
      <c r="D40" s="9">
        <v>0</v>
      </c>
      <c r="E40" s="9">
        <f t="shared" si="2"/>
        <v>0</v>
      </c>
      <c r="F40" s="23" t="s">
        <v>51</v>
      </c>
      <c r="G40" s="13" t="s">
        <v>67</v>
      </c>
      <c r="H40" s="16"/>
    </row>
    <row r="43" spans="1:8" x14ac:dyDescent="0.2">
      <c r="B43" s="24" t="s">
        <v>68</v>
      </c>
    </row>
    <row r="44" spans="1:8" x14ac:dyDescent="0.2">
      <c r="B44" s="25" t="s">
        <v>69</v>
      </c>
    </row>
    <row r="45" spans="1:8" x14ac:dyDescent="0.2">
      <c r="B45" s="25" t="s">
        <v>70</v>
      </c>
    </row>
    <row r="46" spans="1:8" x14ac:dyDescent="0.2">
      <c r="B46" s="25" t="s">
        <v>71</v>
      </c>
    </row>
    <row r="47" spans="1:8" x14ac:dyDescent="0.2">
      <c r="B47" s="25" t="s">
        <v>72</v>
      </c>
    </row>
    <row r="48" spans="1:8" x14ac:dyDescent="0.2">
      <c r="B48" s="25" t="s">
        <v>73</v>
      </c>
    </row>
    <row r="49" spans="2:2" x14ac:dyDescent="0.2">
      <c r="B49" s="25" t="s">
        <v>74</v>
      </c>
    </row>
    <row r="50" spans="2:2" x14ac:dyDescent="0.2">
      <c r="B50" s="25" t="s">
        <v>75</v>
      </c>
    </row>
    <row r="51" spans="2:2" x14ac:dyDescent="0.2">
      <c r="B51" s="25" t="s">
        <v>76</v>
      </c>
    </row>
    <row r="52" spans="2:2" x14ac:dyDescent="0.2">
      <c r="B52" s="25" t="s">
        <v>77</v>
      </c>
    </row>
    <row r="53" spans="2:2" x14ac:dyDescent="0.2">
      <c r="B53" s="25" t="s">
        <v>78</v>
      </c>
    </row>
    <row r="54" spans="2:2" x14ac:dyDescent="0.2">
      <c r="B54" s="25" t="s">
        <v>79</v>
      </c>
    </row>
    <row r="55" spans="2:2" x14ac:dyDescent="0.2">
      <c r="B55" s="25" t="s">
        <v>80</v>
      </c>
    </row>
  </sheetData>
  <hyperlinks>
    <hyperlink ref="H8" r:id="rId1" xr:uid="{00000000-0004-0000-0000-000000000000}"/>
    <hyperlink ref="H9" r:id="rId2" xr:uid="{00000000-0004-0000-0000-000001000000}"/>
    <hyperlink ref="H14" r:id="rId3" xr:uid="{00000000-0004-0000-0000-000004000000}"/>
    <hyperlink ref="H15" r:id="rId4" xr:uid="{00000000-0004-0000-0000-000005000000}"/>
    <hyperlink ref="H17" r:id="rId5" xr:uid="{00000000-0004-0000-0000-000006000000}"/>
    <hyperlink ref="H18" r:id="rId6" xr:uid="{00000000-0004-0000-0000-000007000000}"/>
    <hyperlink ref="H19" r:id="rId7" xr:uid="{00000000-0004-0000-0000-000008000000}"/>
    <hyperlink ref="H20" r:id="rId8" xr:uid="{00000000-0004-0000-0000-000009000000}"/>
    <hyperlink ref="H21" r:id="rId9" xr:uid="{00000000-0004-0000-0000-00000A000000}"/>
    <hyperlink ref="H22" r:id="rId10" xr:uid="{00000000-0004-0000-0000-00000B000000}"/>
    <hyperlink ref="H26" r:id="rId11" xr:uid="{00000000-0004-0000-0000-00000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Malzeme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ERAY FAZIL ORDANUÇ</cp:lastModifiedBy>
  <cp:revision>0</cp:revision>
  <dcterms:created xsi:type="dcterms:W3CDTF">2026-08-12T13:43:35Z</dcterms:created>
  <dcterms:modified xsi:type="dcterms:W3CDTF">2026-08-12T19:58:37Z</dcterms:modified>
  <dc:language>en-US</dc:language>
</cp:coreProperties>
</file>