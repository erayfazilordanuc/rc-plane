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lzeme Listesi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<sst xmlns="http://schemas.openxmlformats.org/spreadsheetml/2006/main" count="120" uniqueCount="86">
  <si>
    <t xml:space="preserve">Fotoblok RC Trainer - Alinacak Malzemeler</t>
  </si>
  <si>
    <t xml:space="preserve">3 kanal rudder-elevator trainer | A2212 1000KV | 3S LiPo | DIY nRF24 kumanda linki</t>
  </si>
  <si>
    <t xml:space="preserve">Guc mimarisi: XL4015 buck regulator dogrudan batarya cikisina baglanir. ESC'nin BEC kirmizi ucu sokulur, sari (sinyal) ve siyah (GND) kalir.</t>
  </si>
  <si>
    <t xml:space="preserve">Fiyatlar 12 Agustos 2026 tarihli guncel ilanlardan alinmistir; stok ve fiyat degisebilir.</t>
  </si>
  <si>
    <t xml:space="preserve">OK</t>
  </si>
  <si>
    <t xml:space="preserve">Malzeme</t>
  </si>
  <si>
    <t xml:space="preserve">Adet</t>
  </si>
  <si>
    <t xml:space="preserve">Birim Fiyat (TL)</t>
  </si>
  <si>
    <t xml:space="preserve">Toplam (TL)</t>
  </si>
  <si>
    <t xml:space="preserve">Durum</t>
  </si>
  <si>
    <t xml:space="preserve">Not</t>
  </si>
  <si>
    <t xml:space="preserve">Link</t>
  </si>
  <si>
    <t xml:space="preserve">YAPI MALZEMELERI</t>
  </si>
  <si>
    <t xml:space="preserve">Fotoblok 5 mm 50x70 cm</t>
  </si>
  <si>
    <t xml:space="preserve">Alinacak</t>
  </si>
  <si>
    <t xml:space="preserve">Yerel kirtasiye Trendyol'dan ucuz; 3 levha yeterli</t>
  </si>
  <si>
    <t xml:space="preserve">https://www.trendyol.com/genel-markalar/5-mm-50x70-cm-fotoblok-straforlu-maket-kartonu-beyaz-5-adet-p-743200992</t>
  </si>
  <si>
    <t xml:space="preserve">Ahsap cita, ladin 2x10x1000 mm</t>
  </si>
  <si>
    <t xml:space="preserve">Kanat kirisi; karbona gerek yok</t>
  </si>
  <si>
    <t xml:space="preserve">https://www.thkmodelucak.com/urun/2x4x510-ihlamur-cita</t>
  </si>
  <si>
    <t xml:space="preserve">Lifli tamir banti 10 m</t>
  </si>
  <si>
    <t xml:space="preserve">Mentese ve kanat kokii takviyesi</t>
  </si>
  <si>
    <t xml:space="preserve">Ara toplam</t>
  </si>
  <si>
    <t xml:space="preserve">GUC SISTEMI</t>
  </si>
  <si>
    <t xml:space="preserve">Masterflight 3S 2200 mAh 30C LiPo</t>
  </si>
  <si>
    <t xml:space="preserve">1500 mAh Turkiye'de duzgun bulunmuyor. 2200 mAh ~180 g, ucus suresi 12-13 dk</t>
  </si>
  <si>
    <t xml:space="preserve">https://www.robocombo.com/111v-li-po-pil-2200mah-30c-3s-lityum-polymer-batarya-3716</t>
  </si>
  <si>
    <t xml:space="preserve">B3 Pro Max 20W balans sarj aleti</t>
  </si>
  <si>
    <t xml:space="preserve">1.6 A, 2-3S. Tek pil icin B6AC gereksiz; B6AC en ucuz 1433 TL</t>
  </si>
  <si>
    <t xml:space="preserve">https://www.direnc.net/3s-40a-lipo-pil-sarj-devresi-modulu</t>
  </si>
  <si>
    <t xml:space="preserve">LiPo hucre voltaj gostergesi (1-8S)</t>
  </si>
  <si>
    <t xml:space="preserve">Sarj aletinin ekrani yok; hucre dengesini bununla dogrula</t>
  </si>
  <si>
    <t xml:space="preserve">LiPo guvenlik cantasi</t>
  </si>
  <si>
    <t xml:space="preserve">Guvenlik kalemi, atlanmamali</t>
  </si>
  <si>
    <t xml:space="preserve">https://www.robotzade.com/urun/lipo-pil-yanmaz-koruma-cantasi-lipo-safe-bag-23x30cm</t>
  </si>
  <si>
    <t xml:space="preserve">Haoye 8x6 EP pervane (8060)</t>
  </si>
  <si>
    <t xml:space="preserve">9x6 stokta yok; 8x6 A2212+3S icin ~14 A, daha uygun</t>
  </si>
  <si>
    <t xml:space="preserve">https://www.hobbyrcmodels.com/urun/haoye-8x6-ep-pervane-8060-beyaz-d-6mm-h-10-5mm-6-75gr-1</t>
  </si>
  <si>
    <t xml:space="preserve">16 AWG silikon kablo 1 m</t>
  </si>
  <si>
    <t xml:space="preserve">Batarya - ESC arasi</t>
  </si>
  <si>
    <t xml:space="preserve">https://www.robocombo.com/16awg-kirmizi-silikon-kablo-1m</t>
  </si>
  <si>
    <t xml:space="preserve">18 AWG silikon kablo 1 m</t>
  </si>
  <si>
    <t xml:space="preserve">Dagitim noktasi hatlari</t>
  </si>
  <si>
    <t xml:space="preserve">https://www.robocombo.com/18awg-kirmizi-silikon-kablo-1m</t>
  </si>
  <si>
    <t xml:space="preserve">XT60 erkek konnektor</t>
  </si>
  <si>
    <t xml:space="preserve">https://www.robotzade.com/urun/xt60-erkek-lipo-pil-konnektor</t>
  </si>
  <si>
    <t xml:space="preserve">XT60 disi konnektor</t>
  </si>
  <si>
    <t xml:space="preserve">Biri XL4015 girisi icin</t>
  </si>
  <si>
    <t xml:space="preserve">https://www.robotzade.com/urun/xt60-disi-lipo-pil-konnektor</t>
  </si>
  <si>
    <t xml:space="preserve">KUMANDA LINKI ELEKTRONIGI</t>
  </si>
  <si>
    <t xml:space="preserve">STM32F103C8T6 Blue Pill</t>
  </si>
  <si>
    <t xml:space="preserve">BlackPill 328 TL yerine. Ayrica ST-Link V2 klon ~124 TL gerekir. Elde ESP32 varsa bu satir 0 yapilabilir</t>
  </si>
  <si>
    <t xml:space="preserve">https://www.robotistan.com/stm32f103c8t6a-gelistirme-karti</t>
  </si>
  <si>
    <t xml:space="preserve">GENEL TOPLAM (satin alinacak)</t>
  </si>
  <si>
    <t xml:space="preserve">ELINDE MEVCUT - SATIN ALINMAYACAK</t>
  </si>
  <si>
    <t xml:space="preserve">A2212 1000KV firçasiz motor</t>
  </si>
  <si>
    <t xml:space="preserve">Mevcut</t>
  </si>
  <si>
    <t xml:space="preserve">8x6 veya 9x6 pervane ile 3S'te ~15 A</t>
  </si>
  <si>
    <t xml:space="preserve">30A ESC (RLN2C15-0030)</t>
  </si>
  <si>
    <t xml:space="preserve">BEC kirmizi ucu sokulecek; 1A lineer BEC kullanilmiyor</t>
  </si>
  <si>
    <t xml:space="preserve">MG90S servo</t>
  </si>
  <si>
    <t xml:space="preserve">Rudder ve elevator</t>
  </si>
  <si>
    <t xml:space="preserve">nRF24L01+ modul</t>
  </si>
  <si>
    <t xml:space="preserve">VCC pininin dibine 10 uF + 100 nF sart</t>
  </si>
  <si>
    <t xml:space="preserve">XL4015 buck regulator</t>
  </si>
  <si>
    <t xml:space="preserve">Dogrudan batarya cikisina, 5.2 V'a ayarlanacak</t>
  </si>
  <si>
    <t xml:space="preserve">Joystick / buton modulleri</t>
  </si>
  <si>
    <t xml:space="preserve">Verici tarafi</t>
  </si>
  <si>
    <t xml:space="preserve">Sicak silikon tabancasi</t>
  </si>
  <si>
    <t xml:space="preserve">Dusuk isi ayarinda kullan</t>
  </si>
  <si>
    <t xml:space="preserve">Jumper kablo ve pin header</t>
  </si>
  <si>
    <t xml:space="preserve">Kontrol boynuzu (control horn)</t>
  </si>
  <si>
    <t xml:space="preserve">3D yazici ile basilacak</t>
  </si>
  <si>
    <t xml:space="preserve">NOTLAR</t>
  </si>
  <si>
    <t xml:space="preserve">OK sutunu: karar verilmis ve siparise hazir kalemler isaretlidir.</t>
  </si>
  <si>
    <t xml:space="preserve">Mavi yazili hucreler elle girilen fiyatlardir; guncelledikce toplamlar kendiliginden yenilenir.</t>
  </si>
  <si>
    <t xml:space="preserve">XL4015 kurulumu: modulu once sadece bataryaya bagla, cikisi multimetreyle olcerek 5.2 V'a ayarla, sonra servolari ve karti bagla.</t>
  </si>
  <si>
    <t xml:space="preserve">Fabrika cikisinda XL4015 potu genelde maksimumdadir; once ayarlamadan baglarsan servolar ve STM32 aninda yanar.</t>
  </si>
  <si>
    <t xml:space="preserve">Ayardan sonra trimpotun uzerine sicak silikon damlat; ucus titresimi potu kaydirir.</t>
  </si>
  <si>
    <t xml:space="preserve">ESC'nin uc telli konnektorunde sadece kirmizi (5 V) sokulur. Sari sinyal STM32 timer pinine, siyah ortak toprak rayina gider.</t>
  </si>
  <si>
    <t xml:space="preserve">Tum topraklar tek noktada birlesir: XL4015 GND, ESC GND, servo GND ve STM32 GND.</t>
  </si>
  <si>
    <t xml:space="preserve">Sarj kurallari: en fazla 1C akim (1500 mAh icin 1.5 A), her zaman LiPo cantasinda ve basinda olarak, asla gece boyu birakma.</t>
  </si>
  <si>
    <t xml:space="preserve">Ucus sonrasi hucre basina 3.0 V altina dusurme; 8 dakikada in. Uzun sure kullanilmayacaksa hucre basina 3.8 V storage voltajinda birak.</t>
  </si>
  <si>
    <t xml:space="preserve">Hucre kontrolu icin 'LiPo pil alarmi 1-8S' tipi urun al: balans portuna takilir, her hucrenin voltajini gosterir ve dusuk voltajda oter. Kapasite gostergesi bu isi gormez.</t>
  </si>
  <si>
    <t xml:space="preserve">Fiyat duzeltmesi: 3S 1500 mAh pil 800 degil ~1030 TL, sarj aleti 430 degil 518 TL, XT60 ve bant kalemleri de yukari cekildi. Ilk tahmin bu yuzden dusuk kalmisti.</t>
  </si>
  <si>
    <t xml:space="preserve">Pil listenin en buyuk kalemi (1732 TL). Bu fiyat 12 Agustos 2026 itibariyla %20 indirimli hali.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</si>
</sst>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&quot; TL&quot;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2"/>
      <charset val="1"/>
    </font>
    <font>
      <i val="true"/>
      <sz val="10"/>
      <color rgb="FF555555"/>
      <name val="Arial"/>
      <family val="2"/>
      <charset val="1"/>
    </font>
    <font>
      <i val="true"/>
      <sz val="10"/>
      <color rgb="FFC00000"/>
      <name val="Arial"/>
      <family val="2"/>
      <charset val="1"/>
    </font>
    <font>
      <i val="true"/>
      <sz val="9"/>
      <color rgb="FF777777"/>
      <name val="Arial"/>
      <family val="0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1F4E5F"/>
      <name val="Arial"/>
      <family val="2"/>
      <charset val="1"/>
    </font>
    <font>
      <b val="true"/>
      <sz val="10"/>
      <color rgb="FF1B5E20"/>
      <name val="Arial"/>
      <family val="2"/>
      <charset val="1"/>
    </font>
    <font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9"/>
      <color rgb="FF555555"/>
      <name val="Arial"/>
      <family val="2"/>
      <charset val="1"/>
    </font>
    <font>
      <u val="single"/>
      <sz val="9"/>
      <color rgb="FF0563C1"/>
      <name val="Arial"/>
      <family val="2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2"/>
      <charset val="1"/>
    </font>
    <font>
      <sz val="10"/>
      <name val="Arial"/>
      <family val="0"/>
      <charset val="1"/>
    </font>
    <font>
      <sz val="9"/>
      <color rgb="FF555555"/>
      <name val="Arial"/>
      <family val="0"/>
      <charset val="1"/>
    </font>
    <font>
      <u val="single"/>
      <sz val="9"/>
      <color rgb="FF0563C1"/>
      <name val="Arial"/>
      <family val="0"/>
      <charset val="1"/>
    </font>
    <font>
      <b val="true"/>
      <sz val="11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555555"/>
      <name val="Arial"/>
      <family val="2"/>
      <charset val="1"/>
    </font>
    <font>
      <sz val="10"/>
      <color rgb="FF555555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5F"/>
        <bgColor rgb="FF1B5E20"/>
      </patternFill>
    </fill>
    <fill>
      <patternFill patternType="solid">
        <fgColor rgb="FFDCE6EC"/>
        <bgColor rgb="FFE8F5E9"/>
      </patternFill>
    </fill>
    <fill>
      <patternFill patternType="solid">
        <fgColor rgb="FFC8E6C9"/>
        <bgColor rgb="FFDCE6EC"/>
      </patternFill>
    </fill>
    <fill>
      <patternFill patternType="solid">
        <fgColor rgb="FFF2F2F2"/>
        <bgColor rgb="FFE8F5E9"/>
      </patternFill>
    </fill>
    <fill>
      <patternFill patternType="solid">
        <fgColor rgb="FFFFF2CC"/>
        <bgColor rgb="FFF2F2F2"/>
      </patternFill>
    </fill>
    <fill>
      <patternFill patternType="solid">
        <fgColor rgb="FFE8F5E9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777777"/>
      <rgbColor rgb="FF9999FF"/>
      <rgbColor rgb="FF993366"/>
      <rgbColor rgb="FFFFF2CC"/>
      <rgbColor rgb="FFE8F5E9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EC"/>
      <rgbColor rgb="FFC8E6C9"/>
      <rgbColor rgb="FFF2F2F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trendyol.com/genel-markalar/5-mm-50x70-cm-fotoblok-straforlu-maket-kartonu-beyaz-5-adet-p-743200992" TargetMode="External"/><Relationship Id="rId2" Type="http://schemas.openxmlformats.org/officeDocument/2006/relationships/hyperlink" Target="https://www.thkmodelucak.com/urun/2x4x510-ihlamur-cita" TargetMode="External"/><Relationship Id="rId3" Type="http://schemas.openxmlformats.org/officeDocument/2006/relationships/hyperlink" Target="https://www.robocombo.com/111v-li-po-pil-2200mah-30c-3s-lityum-polymer-batarya-3716" TargetMode="External"/><Relationship Id="rId4" Type="http://schemas.openxmlformats.org/officeDocument/2006/relationships/hyperlink" Target="https://www.direnc.net/3s-40a-lipo-pil-sarj-devresi-modulu" TargetMode="External"/><Relationship Id="rId5" Type="http://schemas.openxmlformats.org/officeDocument/2006/relationships/hyperlink" Target="https://www.robotzade.com/urun/lipo-pil-yanmaz-koruma-cantasi-lipo-safe-bag-23x30cm" TargetMode="External"/><Relationship Id="rId6" Type="http://schemas.openxmlformats.org/officeDocument/2006/relationships/hyperlink" Target="https://www.hobbyrcmodels.com/urun/haoye-8x6-ep-pervane-8060-beyaz-d-6mm-h-10-5mm-6-75gr-1" TargetMode="External"/><Relationship Id="rId7" Type="http://schemas.openxmlformats.org/officeDocument/2006/relationships/hyperlink" Target="https://www.robocombo.com/16awg-kirmizi-silikon-kablo-1m" TargetMode="External"/><Relationship Id="rId8" Type="http://schemas.openxmlformats.org/officeDocument/2006/relationships/hyperlink" Target="https://www.robocombo.com/18awg-kirmizi-silikon-kablo-1m" TargetMode="External"/><Relationship Id="rId9" Type="http://schemas.openxmlformats.org/officeDocument/2006/relationships/hyperlink" Target="https://www.robotzade.com/urun/xt60-erkek-lipo-pil-konnektor" TargetMode="External"/><Relationship Id="rId10" Type="http://schemas.openxmlformats.org/officeDocument/2006/relationships/hyperlink" Target="https://www.robotzade.com/urun/xt60-disi-lipo-pil-konnektor" TargetMode="External"/><Relationship Id="rId11" Type="http://schemas.openxmlformats.org/officeDocument/2006/relationships/hyperlink" Target="https://www.robotistan.com/stm32f103c8t6a-gelistirme-karti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E29" activeCellId="0" sqref="E29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0"/>
    <col collapsed="false" customWidth="true" hidden="false" outlineLevel="0" max="3" min="3" style="1" width="7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7" min="7" style="1" width="46"/>
    <col collapsed="false" customWidth="true" hidden="false" outlineLevel="0" max="8" min="8" style="1" width="44"/>
  </cols>
  <sheetData>
    <row r="1" customFormat="false" ht="18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</row>
    <row r="4" customFormat="false" ht="15" hidden="false" customHeight="true" outlineLevel="0" collapsed="false">
      <c r="A4" s="5" t="s">
        <v>3</v>
      </c>
    </row>
    <row r="6" customFormat="false" ht="15" hidden="false" customHeight="true" outlineLevel="0" collapsed="false">
      <c r="A6" s="6" t="s">
        <v>4</v>
      </c>
      <c r="B6" s="6" t="s">
        <v>5</v>
      </c>
      <c r="C6" s="6" t="s">
        <v>6</v>
      </c>
      <c r="D6" s="6" t="s">
        <v>7</v>
      </c>
      <c r="E6" s="6" t="s">
        <v>8</v>
      </c>
      <c r="F6" s="6" t="s">
        <v>9</v>
      </c>
      <c r="G6" s="6" t="s">
        <v>10</v>
      </c>
      <c r="H6" s="6" t="s">
        <v>11</v>
      </c>
    </row>
    <row r="7" customFormat="false" ht="15" hidden="false" customHeight="true" outlineLevel="0" collapsed="false">
      <c r="A7" s="7"/>
      <c r="B7" s="7" t="s">
        <v>12</v>
      </c>
      <c r="C7" s="7"/>
      <c r="D7" s="8"/>
      <c r="E7" s="8"/>
      <c r="F7" s="7"/>
      <c r="G7" s="7"/>
      <c r="H7" s="7"/>
    </row>
    <row r="8" customFormat="false" ht="15" hidden="false" customHeight="true" outlineLevel="0" collapsed="false">
      <c r="A8" s="9" t="s">
        <v>4</v>
      </c>
      <c r="B8" s="10" t="s">
        <v>13</v>
      </c>
      <c r="C8" s="11" t="n">
        <v>3</v>
      </c>
      <c r="D8" s="12" t="n">
        <v>100</v>
      </c>
      <c r="E8" s="13" t="n">
        <f aca="false">C8*D8</f>
        <v>300</v>
      </c>
      <c r="F8" s="10" t="s">
        <v>14</v>
      </c>
      <c r="G8" s="14" t="s">
        <v>15</v>
      </c>
      <c r="H8" s="15" t="s">
        <v>16</v>
      </c>
    </row>
    <row r="9" customFormat="false" ht="15" hidden="false" customHeight="true" outlineLevel="0" collapsed="false">
      <c r="A9" s="9" t="s">
        <v>4</v>
      </c>
      <c r="B9" s="10" t="s">
        <v>17</v>
      </c>
      <c r="C9" s="11" t="n">
        <v>1</v>
      </c>
      <c r="D9" s="12" t="n">
        <v>67</v>
      </c>
      <c r="E9" s="13" t="n">
        <f aca="false">C9*D9</f>
        <v>67</v>
      </c>
      <c r="F9" s="10" t="s">
        <v>14</v>
      </c>
      <c r="G9" s="14" t="s">
        <v>18</v>
      </c>
      <c r="H9" s="15" t="s">
        <v>19</v>
      </c>
    </row>
    <row r="10" customFormat="false" ht="15" hidden="false" customHeight="true" outlineLevel="0" collapsed="false">
      <c r="A10" s="9" t="s">
        <v>4</v>
      </c>
      <c r="B10" s="10" t="s">
        <v>20</v>
      </c>
      <c r="C10" s="11" t="n">
        <v>1</v>
      </c>
      <c r="D10" s="16" t="n">
        <v>120</v>
      </c>
      <c r="E10" s="13" t="n">
        <f aca="false">C10*D10</f>
        <v>120</v>
      </c>
      <c r="F10" s="10" t="s">
        <v>14</v>
      </c>
      <c r="G10" s="14" t="s">
        <v>21</v>
      </c>
      <c r="H10" s="17"/>
    </row>
    <row r="11" customFormat="false" ht="15" hidden="false" customHeight="true" outlineLevel="0" collapsed="false">
      <c r="A11" s="18"/>
      <c r="B11" s="18" t="s">
        <v>22</v>
      </c>
      <c r="C11" s="18"/>
      <c r="D11" s="19"/>
      <c r="E11" s="19" t="n">
        <f aca="false">SUM(E8:E10)</f>
        <v>487</v>
      </c>
      <c r="F11" s="18"/>
      <c r="G11" s="18"/>
      <c r="H11" s="18"/>
    </row>
    <row r="12" customFormat="false" ht="15" hidden="false" customHeight="true" outlineLevel="0" collapsed="false">
      <c r="D12" s="20"/>
      <c r="E12" s="20"/>
    </row>
    <row r="13" customFormat="false" ht="15" hidden="false" customHeight="true" outlineLevel="0" collapsed="false">
      <c r="A13" s="7"/>
      <c r="B13" s="7" t="s">
        <v>23</v>
      </c>
      <c r="C13" s="7"/>
      <c r="D13" s="8"/>
      <c r="E13" s="8"/>
      <c r="F13" s="7"/>
      <c r="G13" s="7"/>
      <c r="H13" s="7"/>
    </row>
    <row r="14" customFormat="false" ht="15" hidden="false" customHeight="true" outlineLevel="0" collapsed="false">
      <c r="A14" s="9" t="s">
        <v>4</v>
      </c>
      <c r="B14" s="21" t="s">
        <v>24</v>
      </c>
      <c r="C14" s="11" t="n">
        <v>1</v>
      </c>
      <c r="D14" s="16" t="n">
        <v>1732</v>
      </c>
      <c r="E14" s="13" t="n">
        <f aca="false">C14*D14</f>
        <v>1732</v>
      </c>
      <c r="F14" s="10" t="s">
        <v>14</v>
      </c>
      <c r="G14" s="22" t="s">
        <v>25</v>
      </c>
      <c r="H14" s="23" t="s">
        <v>26</v>
      </c>
    </row>
    <row r="15" customFormat="false" ht="21.75" hidden="false" customHeight="true" outlineLevel="0" collapsed="false">
      <c r="A15" s="9" t="s">
        <v>4</v>
      </c>
      <c r="B15" s="10" t="s">
        <v>27</v>
      </c>
      <c r="C15" s="11" t="n">
        <v>1</v>
      </c>
      <c r="D15" s="16" t="n">
        <v>518</v>
      </c>
      <c r="E15" s="13" t="n">
        <f aca="false">C15*D15</f>
        <v>518</v>
      </c>
      <c r="F15" s="10" t="s">
        <v>14</v>
      </c>
      <c r="G15" s="14" t="s">
        <v>28</v>
      </c>
      <c r="H15" s="15" t="s">
        <v>29</v>
      </c>
    </row>
    <row r="16" customFormat="false" ht="15" hidden="false" customHeight="true" outlineLevel="0" collapsed="false">
      <c r="A16" s="9" t="s">
        <v>4</v>
      </c>
      <c r="B16" s="10" t="s">
        <v>30</v>
      </c>
      <c r="C16" s="11" t="n">
        <v>1</v>
      </c>
      <c r="D16" s="16" t="n">
        <v>120</v>
      </c>
      <c r="E16" s="13" t="n">
        <f aca="false">C16*D16</f>
        <v>120</v>
      </c>
      <c r="F16" s="10" t="s">
        <v>14</v>
      </c>
      <c r="G16" s="14" t="s">
        <v>31</v>
      </c>
      <c r="H16" s="17"/>
    </row>
    <row r="17" customFormat="false" ht="15" hidden="false" customHeight="true" outlineLevel="0" collapsed="false">
      <c r="A17" s="9" t="s">
        <v>4</v>
      </c>
      <c r="B17" s="10" t="s">
        <v>32</v>
      </c>
      <c r="C17" s="11" t="n">
        <v>1</v>
      </c>
      <c r="D17" s="16" t="n">
        <v>220</v>
      </c>
      <c r="E17" s="13" t="n">
        <f aca="false">C17*D17</f>
        <v>220</v>
      </c>
      <c r="F17" s="10" t="s">
        <v>14</v>
      </c>
      <c r="G17" s="14" t="s">
        <v>33</v>
      </c>
      <c r="H17" s="15" t="s">
        <v>34</v>
      </c>
    </row>
    <row r="18" customFormat="false" ht="15" hidden="false" customHeight="true" outlineLevel="0" collapsed="false">
      <c r="A18" s="9" t="s">
        <v>4</v>
      </c>
      <c r="B18" s="10" t="s">
        <v>35</v>
      </c>
      <c r="C18" s="11" t="n">
        <v>2</v>
      </c>
      <c r="D18" s="12" t="n">
        <v>48</v>
      </c>
      <c r="E18" s="13" t="n">
        <f aca="false">C18*D18</f>
        <v>96</v>
      </c>
      <c r="F18" s="10" t="s">
        <v>14</v>
      </c>
      <c r="G18" s="14" t="s">
        <v>36</v>
      </c>
      <c r="H18" s="15" t="s">
        <v>37</v>
      </c>
    </row>
    <row r="19" customFormat="false" ht="15" hidden="false" customHeight="true" outlineLevel="0" collapsed="false">
      <c r="A19" s="9" t="s">
        <v>4</v>
      </c>
      <c r="B19" s="10" t="s">
        <v>38</v>
      </c>
      <c r="C19" s="11" t="n">
        <v>1</v>
      </c>
      <c r="D19" s="12" t="n">
        <v>60</v>
      </c>
      <c r="E19" s="13" t="n">
        <f aca="false">C19*D19</f>
        <v>60</v>
      </c>
      <c r="F19" s="10" t="s">
        <v>14</v>
      </c>
      <c r="G19" s="14" t="s">
        <v>39</v>
      </c>
      <c r="H19" s="15" t="s">
        <v>40</v>
      </c>
    </row>
    <row r="20" customFormat="false" ht="15" hidden="false" customHeight="true" outlineLevel="0" collapsed="false">
      <c r="A20" s="9" t="s">
        <v>4</v>
      </c>
      <c r="B20" s="10" t="s">
        <v>41</v>
      </c>
      <c r="C20" s="11" t="n">
        <v>1</v>
      </c>
      <c r="D20" s="12" t="n">
        <v>50</v>
      </c>
      <c r="E20" s="13" t="n">
        <f aca="false">C20*D20</f>
        <v>50</v>
      </c>
      <c r="F20" s="10" t="s">
        <v>14</v>
      </c>
      <c r="G20" s="14" t="s">
        <v>42</v>
      </c>
      <c r="H20" s="15" t="s">
        <v>43</v>
      </c>
    </row>
    <row r="21" customFormat="false" ht="15" hidden="false" customHeight="true" outlineLevel="0" collapsed="false">
      <c r="A21" s="9" t="s">
        <v>4</v>
      </c>
      <c r="B21" s="10" t="s">
        <v>44</v>
      </c>
      <c r="C21" s="11" t="n">
        <v>2</v>
      </c>
      <c r="D21" s="16" t="n">
        <v>25</v>
      </c>
      <c r="E21" s="13" t="n">
        <f aca="false">C21*D21</f>
        <v>50</v>
      </c>
      <c r="F21" s="10" t="s">
        <v>14</v>
      </c>
      <c r="G21" s="14"/>
      <c r="H21" s="15" t="s">
        <v>45</v>
      </c>
    </row>
    <row r="22" customFormat="false" ht="15" hidden="false" customHeight="true" outlineLevel="0" collapsed="false">
      <c r="A22" s="9" t="s">
        <v>4</v>
      </c>
      <c r="B22" s="10" t="s">
        <v>46</v>
      </c>
      <c r="C22" s="11" t="n">
        <v>2</v>
      </c>
      <c r="D22" s="16" t="n">
        <v>25</v>
      </c>
      <c r="E22" s="13" t="n">
        <f aca="false">C22*D22</f>
        <v>50</v>
      </c>
      <c r="F22" s="10" t="s">
        <v>14</v>
      </c>
      <c r="G22" s="14" t="s">
        <v>47</v>
      </c>
      <c r="H22" s="15" t="s">
        <v>48</v>
      </c>
    </row>
    <row r="23" customFormat="false" ht="15" hidden="false" customHeight="true" outlineLevel="0" collapsed="false">
      <c r="A23" s="18"/>
      <c r="B23" s="18" t="s">
        <v>22</v>
      </c>
      <c r="C23" s="18"/>
      <c r="D23" s="19"/>
      <c r="E23" s="19" t="n">
        <f aca="false">SUM(E14:E22)</f>
        <v>2896</v>
      </c>
      <c r="F23" s="18"/>
      <c r="G23" s="18"/>
      <c r="H23" s="18"/>
    </row>
    <row r="24" customFormat="false" ht="15" hidden="false" customHeight="true" outlineLevel="0" collapsed="false">
      <c r="D24" s="20"/>
      <c r="E24" s="20"/>
    </row>
    <row r="25" customFormat="false" ht="15" hidden="false" customHeight="true" outlineLevel="0" collapsed="false">
      <c r="A25" s="7"/>
      <c r="B25" s="7" t="s">
        <v>49</v>
      </c>
      <c r="C25" s="7"/>
      <c r="D25" s="8"/>
      <c r="E25" s="8"/>
      <c r="F25" s="7"/>
      <c r="G25" s="7"/>
      <c r="H25" s="7"/>
    </row>
    <row r="26" customFormat="false" ht="21.75" hidden="false" customHeight="true" outlineLevel="0" collapsed="false">
      <c r="A26" s="24"/>
      <c r="B26" s="21" t="s">
        <v>50</v>
      </c>
      <c r="C26" s="11" t="n">
        <v>1</v>
      </c>
      <c r="D26" s="16" t="n">
        <v>182</v>
      </c>
      <c r="E26" s="13" t="n">
        <f aca="false">C26*D26</f>
        <v>182</v>
      </c>
      <c r="F26" s="10" t="s">
        <v>14</v>
      </c>
      <c r="G26" s="22" t="s">
        <v>51</v>
      </c>
      <c r="H26" s="23" t="s">
        <v>52</v>
      </c>
    </row>
    <row r="27" customFormat="false" ht="15" hidden="false" customHeight="true" outlineLevel="0" collapsed="false">
      <c r="A27" s="18"/>
      <c r="B27" s="18" t="s">
        <v>22</v>
      </c>
      <c r="C27" s="18"/>
      <c r="D27" s="19"/>
      <c r="E27" s="19" t="n">
        <f aca="false">SUM(E26:E26)</f>
        <v>182</v>
      </c>
      <c r="F27" s="18"/>
      <c r="G27" s="18"/>
      <c r="H27" s="18"/>
    </row>
    <row r="28" customFormat="false" ht="15" hidden="false" customHeight="true" outlineLevel="0" collapsed="false">
      <c r="D28" s="20"/>
      <c r="E28" s="20"/>
    </row>
    <row r="29" customFormat="false" ht="15" hidden="false" customHeight="true" outlineLevel="0" collapsed="false">
      <c r="A29" s="25"/>
      <c r="B29" s="25" t="s">
        <v>53</v>
      </c>
      <c r="C29" s="25"/>
      <c r="D29" s="26"/>
      <c r="E29" s="26" t="n">
        <f aca="false">E11+E23+E27</f>
        <v>3565</v>
      </c>
      <c r="F29" s="25"/>
      <c r="G29" s="25"/>
      <c r="H29" s="25"/>
    </row>
    <row r="31" customFormat="false" ht="15" hidden="false" customHeight="true" outlineLevel="0" collapsed="false">
      <c r="A31" s="27"/>
      <c r="B31" s="27" t="s">
        <v>54</v>
      </c>
      <c r="C31" s="27"/>
      <c r="D31" s="27"/>
      <c r="E31" s="27"/>
      <c r="F31" s="27"/>
      <c r="G31" s="27"/>
      <c r="H31" s="27"/>
    </row>
    <row r="32" customFormat="false" ht="15" hidden="false" customHeight="true" outlineLevel="0" collapsed="false">
      <c r="A32" s="17"/>
      <c r="B32" s="10" t="s">
        <v>55</v>
      </c>
      <c r="C32" s="11" t="n">
        <v>1</v>
      </c>
      <c r="D32" s="10" t="n">
        <v>0</v>
      </c>
      <c r="E32" s="10" t="n">
        <f aca="false">C32*D32</f>
        <v>0</v>
      </c>
      <c r="F32" s="28" t="s">
        <v>56</v>
      </c>
      <c r="G32" s="14" t="s">
        <v>57</v>
      </c>
      <c r="H32" s="17"/>
    </row>
    <row r="33" customFormat="false" ht="15" hidden="false" customHeight="true" outlineLevel="0" collapsed="false">
      <c r="A33" s="17"/>
      <c r="B33" s="10" t="s">
        <v>58</v>
      </c>
      <c r="C33" s="11" t="n">
        <v>1</v>
      </c>
      <c r="D33" s="10" t="n">
        <v>0</v>
      </c>
      <c r="E33" s="10" t="n">
        <f aca="false">C33*D33</f>
        <v>0</v>
      </c>
      <c r="F33" s="28" t="s">
        <v>56</v>
      </c>
      <c r="G33" s="14" t="s">
        <v>59</v>
      </c>
      <c r="H33" s="17"/>
    </row>
    <row r="34" customFormat="false" ht="15" hidden="false" customHeight="true" outlineLevel="0" collapsed="false">
      <c r="A34" s="17"/>
      <c r="B34" s="10" t="s">
        <v>60</v>
      </c>
      <c r="C34" s="11" t="n">
        <v>2</v>
      </c>
      <c r="D34" s="10" t="n">
        <v>0</v>
      </c>
      <c r="E34" s="10" t="n">
        <f aca="false">C34*D34</f>
        <v>0</v>
      </c>
      <c r="F34" s="28" t="s">
        <v>56</v>
      </c>
      <c r="G34" s="14" t="s">
        <v>61</v>
      </c>
      <c r="H34" s="17"/>
    </row>
    <row r="35" customFormat="false" ht="15" hidden="false" customHeight="true" outlineLevel="0" collapsed="false">
      <c r="A35" s="17"/>
      <c r="B35" s="10" t="s">
        <v>62</v>
      </c>
      <c r="C35" s="11" t="n">
        <v>2</v>
      </c>
      <c r="D35" s="10" t="n">
        <v>0</v>
      </c>
      <c r="E35" s="10" t="n">
        <f aca="false">C35*D35</f>
        <v>0</v>
      </c>
      <c r="F35" s="28" t="s">
        <v>56</v>
      </c>
      <c r="G35" s="14" t="s">
        <v>63</v>
      </c>
      <c r="H35" s="17"/>
    </row>
    <row r="36" customFormat="false" ht="15" hidden="false" customHeight="true" outlineLevel="0" collapsed="false">
      <c r="A36" s="17"/>
      <c r="B36" s="10" t="s">
        <v>64</v>
      </c>
      <c r="C36" s="11" t="n">
        <v>1</v>
      </c>
      <c r="D36" s="10" t="n">
        <v>0</v>
      </c>
      <c r="E36" s="10" t="n">
        <f aca="false">C36*D36</f>
        <v>0</v>
      </c>
      <c r="F36" s="28" t="s">
        <v>56</v>
      </c>
      <c r="G36" s="14" t="s">
        <v>65</v>
      </c>
      <c r="H36" s="17"/>
    </row>
    <row r="37" customFormat="false" ht="15" hidden="false" customHeight="true" outlineLevel="0" collapsed="false">
      <c r="A37" s="17"/>
      <c r="B37" s="10" t="s">
        <v>66</v>
      </c>
      <c r="C37" s="11" t="n">
        <v>1</v>
      </c>
      <c r="D37" s="10" t="n">
        <v>0</v>
      </c>
      <c r="E37" s="10" t="n">
        <f aca="false">C37*D37</f>
        <v>0</v>
      </c>
      <c r="F37" s="28" t="s">
        <v>56</v>
      </c>
      <c r="G37" s="14" t="s">
        <v>67</v>
      </c>
      <c r="H37" s="17"/>
    </row>
    <row r="38" customFormat="false" ht="15" hidden="false" customHeight="true" outlineLevel="0" collapsed="false">
      <c r="A38" s="17"/>
      <c r="B38" s="10" t="s">
        <v>68</v>
      </c>
      <c r="C38" s="11" t="n">
        <v>1</v>
      </c>
      <c r="D38" s="10" t="n">
        <v>0</v>
      </c>
      <c r="E38" s="10" t="n">
        <f aca="false">C38*D38</f>
        <v>0</v>
      </c>
      <c r="F38" s="28" t="s">
        <v>56</v>
      </c>
      <c r="G38" s="14" t="s">
        <v>69</v>
      </c>
      <c r="H38" s="17"/>
    </row>
    <row r="39" customFormat="false" ht="15" hidden="false" customHeight="true" outlineLevel="0" collapsed="false">
      <c r="A39" s="17"/>
      <c r="B39" s="10" t="s">
        <v>70</v>
      </c>
      <c r="C39" s="11" t="n">
        <v>1</v>
      </c>
      <c r="D39" s="10" t="n">
        <v>0</v>
      </c>
      <c r="E39" s="10" t="n">
        <f aca="false">C39*D39</f>
        <v>0</v>
      </c>
      <c r="F39" s="28" t="s">
        <v>56</v>
      </c>
      <c r="G39" s="14"/>
      <c r="H39" s="17"/>
    </row>
    <row r="40" customFormat="false" ht="15" hidden="false" customHeight="true" outlineLevel="0" collapsed="false">
      <c r="A40" s="17"/>
      <c r="B40" s="10" t="s">
        <v>71</v>
      </c>
      <c r="C40" s="11" t="n">
        <v>4</v>
      </c>
      <c r="D40" s="10" t="n">
        <v>0</v>
      </c>
      <c r="E40" s="10" t="n">
        <f aca="false">C40*D40</f>
        <v>0</v>
      </c>
      <c r="F40" s="28" t="s">
        <v>56</v>
      </c>
      <c r="G40" s="14" t="s">
        <v>72</v>
      </c>
      <c r="H40" s="17"/>
    </row>
    <row r="43" customFormat="false" ht="15" hidden="false" customHeight="true" outlineLevel="0" collapsed="false">
      <c r="B43" s="29" t="s">
        <v>73</v>
      </c>
    </row>
    <row r="44" customFormat="false" ht="15" hidden="false" customHeight="true" outlineLevel="0" collapsed="false">
      <c r="B44" s="30" t="s">
        <v>74</v>
      </c>
    </row>
    <row r="45" customFormat="false" ht="15" hidden="false" customHeight="true" outlineLevel="0" collapsed="false">
      <c r="B45" s="30" t="s">
        <v>75</v>
      </c>
    </row>
    <row r="46" customFormat="false" ht="15" hidden="false" customHeight="true" outlineLevel="0" collapsed="false">
      <c r="B46" s="30" t="s">
        <v>76</v>
      </c>
    </row>
    <row r="47" customFormat="false" ht="15" hidden="false" customHeight="true" outlineLevel="0" collapsed="false">
      <c r="B47" s="30" t="s">
        <v>77</v>
      </c>
    </row>
    <row r="48" customFormat="false" ht="15" hidden="false" customHeight="true" outlineLevel="0" collapsed="false">
      <c r="B48" s="30" t="s">
        <v>78</v>
      </c>
    </row>
    <row r="49" customFormat="false" ht="15" hidden="false" customHeight="true" outlineLevel="0" collapsed="false">
      <c r="B49" s="30" t="s">
        <v>79</v>
      </c>
    </row>
    <row r="50" customFormat="false" ht="15" hidden="false" customHeight="true" outlineLevel="0" collapsed="false">
      <c r="B50" s="30" t="s">
        <v>80</v>
      </c>
    </row>
    <row r="51" customFormat="false" ht="15" hidden="false" customHeight="true" outlineLevel="0" collapsed="false">
      <c r="B51" s="30" t="s">
        <v>81</v>
      </c>
    </row>
    <row r="52" customFormat="false" ht="15" hidden="false" customHeight="true" outlineLevel="0" collapsed="false">
      <c r="B52" s="30" t="s">
        <v>82</v>
      </c>
    </row>
    <row r="53" customFormat="false" ht="15" hidden="false" customHeight="true" outlineLevel="0" collapsed="false">
      <c r="B53" s="31" t="s">
        <v>83</v>
      </c>
    </row>
    <row r="54" customFormat="false" ht="15" hidden="false" customHeight="true" outlineLevel="0" collapsed="false">
      <c r="B54" s="31" t="s">
        <v>84</v>
      </c>
    </row>
    <row r="55" customFormat="false" ht="15" hidden="false" customHeight="true" outlineLevel="0" collapsed="false">
      <c r="B55" s="31" t="s">
        <v>85</v>
      </c>
    </row>
  </sheetData>
  <hyperlinks>
    <hyperlink ref="H8" r:id="rId1" display="https://www.trendyol.com/genel-markalar/5-mm-50x70-cm-fotoblok-straforlu-maket-kartonu-beyaz-5-adet-p-743200992"/>
    <hyperlink ref="H9" r:id="rId2" display="https://www.thkmodelucak.com/urun/2x4x510-ihlamur-cita"/>
    <hyperlink ref="H14" r:id="rId3" display="https://www.robocombo.com/111v-li-po-pil-2200mah-30c-3s-lityum-polymer-batarya-3716"/>
    <hyperlink ref="H15" r:id="rId4" display="https://www.direnc.net/3s-40a-lipo-pil-sarj-devresi-modulu"/>
    <hyperlink ref="H17" r:id="rId5" display="https://www.robotzade.com/urun/lipo-pil-yanmaz-koruma-cantasi-lipo-safe-bag-23x30cm"/>
    <hyperlink ref="H18" r:id="rId6" display="https://www.hobbyrcmodels.com/urun/haoye-8x6-ep-pervane-8060-beyaz-d-6mm-h-10-5mm-6-75gr-1"/>
    <hyperlink ref="H19" r:id="rId7" display="https://www.robocombo.com/16awg-kirmizi-silikon-kablo-1m"/>
    <hyperlink ref="H20" r:id="rId8" display="https://www.robocombo.com/18awg-kirmizi-silikon-kablo-1m"/>
    <hyperlink ref="H21" r:id="rId9" display="https://www.robotzade.com/urun/xt60-erkek-lipo-pil-konnektor"/>
    <hyperlink ref="H22" r:id="rId10" display="https://www.robotzade.com/urun/xt60-disi-lipo-pil-konnektor"/>
    <hyperlink ref="H26" r:id="rId11" display="https://www.robotistan.com/stm32f103c8t6a-gelistirme-kart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2026-08-12T13:43:35Z</dcterms:created>
  <dc:creator>openpyxl</dc:creator>
  <dc:description/>
  <dc:language>en-US</dc:language>
  <cp:lastModifiedBy>ERAY FAZIL ORDANUÇ</cp:lastModifiedBy>
  <dcterms:modified xsi:type="dcterms:W3CDTF">2026-08-12T20:14:10Z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